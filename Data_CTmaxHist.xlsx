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filterPrivacy="1"/>
  <xr:revisionPtr revIDLastSave="0" documentId="13_ncr:1_{D9856936-47B8-4BA9-89C4-CEA3B1974C0B}" xr6:coauthVersionLast="47" xr6:coauthVersionMax="47" xr10:uidLastSave="{00000000-0000-0000-0000-000000000000}"/>
  <bookViews>
    <workbookView xWindow="19090" yWindow="-1020" windowWidth="19420" windowHeight="10300" activeTab="1" xr2:uid="{00000000-000D-0000-FFFF-FFFF00000000}"/>
  </bookViews>
  <sheets>
    <sheet name="CTmaxHistology" sheetId="10" r:id="rId1"/>
    <sheet name="Metadata" sheetId="3" r:id="rId2"/>
  </sheets>
  <definedNames>
    <definedName name="_xlnm._FilterDatabase" localSheetId="0" hidden="1">CTmaxHistology!$A$1:$K$38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0" l="1"/>
  <c r="D37" i="10"/>
  <c r="D36" i="10"/>
  <c r="D35" i="10"/>
  <c r="D34" i="10"/>
  <c r="D33" i="10"/>
  <c r="D32" i="10"/>
  <c r="D31" i="10"/>
  <c r="D30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D5" i="10"/>
  <c r="D4" i="10"/>
  <c r="D3" i="10"/>
  <c r="D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2" authorId="0" shapeId="0" xr:uid="{2E01E1E8-F989-4072-A833-1F6E158DFA8A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more red than pink
</t>
        </r>
      </text>
    </comment>
  </commentList>
</comments>
</file>

<file path=xl/sharedStrings.xml><?xml version="1.0" encoding="utf-8"?>
<sst xmlns="http://schemas.openxmlformats.org/spreadsheetml/2006/main" count="311" uniqueCount="116">
  <si>
    <t>Temp_Treat</t>
  </si>
  <si>
    <t>fishID</t>
  </si>
  <si>
    <t>CTMax</t>
  </si>
  <si>
    <t>date</t>
  </si>
  <si>
    <t>ramp_num</t>
  </si>
  <si>
    <t>first</t>
  </si>
  <si>
    <t>second</t>
  </si>
  <si>
    <t>09.01.2023</t>
  </si>
  <si>
    <t>fish.tag</t>
  </si>
  <si>
    <t>red.or.pink</t>
  </si>
  <si>
    <t>F1</t>
  </si>
  <si>
    <t>F2</t>
  </si>
  <si>
    <t>F3</t>
  </si>
  <si>
    <t>F4</t>
  </si>
  <si>
    <t>F5</t>
  </si>
  <si>
    <t>F6</t>
  </si>
  <si>
    <t>F7</t>
  </si>
  <si>
    <t>F8</t>
  </si>
  <si>
    <t>yellow</t>
  </si>
  <si>
    <t>pink</t>
  </si>
  <si>
    <t>white</t>
  </si>
  <si>
    <t>blue</t>
  </si>
  <si>
    <t>orange</t>
  </si>
  <si>
    <t>brown</t>
  </si>
  <si>
    <t>weight.g</t>
  </si>
  <si>
    <t>TotalL.cm</t>
  </si>
  <si>
    <t>StandL.cm</t>
  </si>
  <si>
    <t>08.01.2023</t>
  </si>
  <si>
    <t>light.blue</t>
  </si>
  <si>
    <t>10.01.2023</t>
  </si>
  <si>
    <t>green</t>
  </si>
  <si>
    <t>red</t>
  </si>
  <si>
    <t>23.01.2023</t>
  </si>
  <si>
    <t>24.01.2023</t>
  </si>
  <si>
    <t>no.color</t>
  </si>
  <si>
    <t>purple</t>
  </si>
  <si>
    <t>Label.preserved.fish</t>
  </si>
  <si>
    <t>S1.1</t>
  </si>
  <si>
    <t>S6.1</t>
  </si>
  <si>
    <t>S5.1</t>
  </si>
  <si>
    <t>S5.5</t>
  </si>
  <si>
    <t>S1.2</t>
  </si>
  <si>
    <t>S6.2</t>
  </si>
  <si>
    <t>S5.2</t>
  </si>
  <si>
    <t>S1.3</t>
  </si>
  <si>
    <t>S1.4</t>
  </si>
  <si>
    <t>S1.5</t>
  </si>
  <si>
    <t>S1.6</t>
  </si>
  <si>
    <t>S1.7</t>
  </si>
  <si>
    <t>S1.8</t>
  </si>
  <si>
    <t>S6.3</t>
  </si>
  <si>
    <t>S6.4</t>
  </si>
  <si>
    <t>S6.5</t>
  </si>
  <si>
    <t>S5.3</t>
  </si>
  <si>
    <t>S5.4</t>
  </si>
  <si>
    <t>S5.6</t>
  </si>
  <si>
    <t>S5.7</t>
  </si>
  <si>
    <t>S5.8</t>
  </si>
  <si>
    <t>S1.1*</t>
  </si>
  <si>
    <t>S1.2*</t>
  </si>
  <si>
    <t>S1.3*</t>
  </si>
  <si>
    <t>S1.4*</t>
  </si>
  <si>
    <t>S1.5*</t>
  </si>
  <si>
    <t>S1.6*</t>
  </si>
  <si>
    <t>S1.7*</t>
  </si>
  <si>
    <t>S1.8*</t>
  </si>
  <si>
    <t>S6.1*</t>
  </si>
  <si>
    <t>S6.2*</t>
  </si>
  <si>
    <t>S6.3*</t>
  </si>
  <si>
    <t>S6.4*</t>
  </si>
  <si>
    <t>S6.5*</t>
  </si>
  <si>
    <t>S6.6*</t>
  </si>
  <si>
    <t>S6.7*</t>
  </si>
  <si>
    <t>S6.8*</t>
  </si>
  <si>
    <t>ExperimentTimeline</t>
  </si>
  <si>
    <t>Experiment dates</t>
  </si>
  <si>
    <t>Sequence of dates starting on the 6th of Dec (the day the experiment could start slowly ramping conditions to targets)</t>
  </si>
  <si>
    <t>Experiment day</t>
  </si>
  <si>
    <t xml:space="preserve">Consequtive number from 06.12.2022 until the end </t>
  </si>
  <si>
    <t>Exposure day</t>
  </si>
  <si>
    <t>Consecutive number from the day targets were reached (9 dec for some, 10 dec for others, but unified to "10" for now)</t>
  </si>
  <si>
    <t>Experiment phases</t>
  </si>
  <si>
    <t>Marks which dates were "slow ramp", "static phase", and "dynamic phase" (planned and extended), including notes of period of T6 instability</t>
  </si>
  <si>
    <t>Key experiment steps</t>
  </si>
  <si>
    <t>Marks all important events per date (dissections, ramps, targets reached, etc)</t>
  </si>
  <si>
    <t>TreatmentInfo</t>
  </si>
  <si>
    <t>experimental.tank</t>
  </si>
  <si>
    <t>Number of ET from ET01 to ET24</t>
  </si>
  <si>
    <t>temp.treat</t>
  </si>
  <si>
    <t>Treatment (Temperature)</t>
  </si>
  <si>
    <t>ph.treat</t>
  </si>
  <si>
    <t>Treatment (pH)</t>
  </si>
  <si>
    <t>rec.system</t>
  </si>
  <si>
    <t>ID of recirculating system from RES1-RES6</t>
  </si>
  <si>
    <t>RES1</t>
  </si>
  <si>
    <t>RES5</t>
  </si>
  <si>
    <t>RES6</t>
  </si>
  <si>
    <t>RampsT</t>
  </si>
  <si>
    <t>Exact date when ramp was conducted</t>
  </si>
  <si>
    <t>ID indicating whether is first or second ramp (see experimental timeline) only T1, T5 and T6 had 2 ramps</t>
  </si>
  <si>
    <t>Histopathology</t>
  </si>
  <si>
    <t>Alteration</t>
  </si>
  <si>
    <t>autosysis</t>
  </si>
  <si>
    <t>autolysis</t>
  </si>
  <si>
    <t>C.Temp_Treat</t>
  </si>
  <si>
    <t>VIE tag color</t>
  </si>
  <si>
    <t>Individual number per REC system</t>
  </si>
  <si>
    <t>Fish weight in g at time of sampling</t>
  </si>
  <si>
    <t>Total length of fish at time of sampling</t>
  </si>
  <si>
    <t>Standard length of fish at time of sampling</t>
  </si>
  <si>
    <t>Ctmax measurement</t>
  </si>
  <si>
    <t>Individual vial label of sample</t>
  </si>
  <si>
    <t>Presence or absence of histopathological alterations (1 = present, 0 = absent)</t>
  </si>
  <si>
    <t>Type of histopathological alteration</t>
  </si>
  <si>
    <t>Temperature treatment information as numeric (continuous) variable</t>
  </si>
  <si>
    <t>CTmaxHistology Metadata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</si>
</sst>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8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34808-1FD0-457A-8B23-66B3F847312D}">
  <dimension ref="A1:N38"/>
  <sheetViews>
    <sheetView zoomScaleNormal="100" workbookViewId="0">
      <selection activeCell="E1" sqref="E1:E1048576"/>
    </sheetView>
  </sheetViews>
  <sheetFormatPr defaultRowHeight="14.5" x14ac:dyDescent="0.35"/>
  <cols>
    <col min="1" max="1" width="10.08984375" bestFit="1" customWidth="1"/>
    <col min="2" max="3" width="12" bestFit="1" customWidth="1"/>
    <col min="4" max="4" width="13.08984375" style="1" bestFit="1" customWidth="1"/>
    <col min="5" max="5" width="11.453125" bestFit="1" customWidth="1"/>
    <col min="6" max="6" width="7.90625" bestFit="1" customWidth="1"/>
    <col min="7" max="7" width="10.08984375" bestFit="1" customWidth="1"/>
    <col min="8" max="8" width="13.54296875" style="1" bestFit="1" customWidth="1"/>
    <col min="9" max="9" width="11.6328125" bestFit="1" customWidth="1"/>
    <col min="10" max="10" width="8.90625" bestFit="1" customWidth="1"/>
    <col min="11" max="11" width="19.81640625" bestFit="1" customWidth="1"/>
    <col min="14" max="14" width="13.08984375" style="1" bestFit="1" customWidth="1"/>
  </cols>
  <sheetData>
    <row r="1" spans="1:14" x14ac:dyDescent="0.35">
      <c r="A1" t="s">
        <v>3</v>
      </c>
      <c r="B1" t="s">
        <v>4</v>
      </c>
      <c r="C1" t="s">
        <v>92</v>
      </c>
      <c r="D1" t="s">
        <v>0</v>
      </c>
      <c r="E1" t="s">
        <v>8</v>
      </c>
      <c r="F1" t="s">
        <v>1</v>
      </c>
      <c r="G1" t="s">
        <v>24</v>
      </c>
      <c r="H1" s="1" t="s">
        <v>25</v>
      </c>
      <c r="I1" t="s">
        <v>26</v>
      </c>
      <c r="J1" t="s">
        <v>2</v>
      </c>
      <c r="K1" t="s">
        <v>36</v>
      </c>
      <c r="L1" t="s">
        <v>100</v>
      </c>
      <c r="M1" t="s">
        <v>101</v>
      </c>
      <c r="N1" t="s">
        <v>104</v>
      </c>
    </row>
    <row r="2" spans="1:14" x14ac:dyDescent="0.35">
      <c r="A2" t="s">
        <v>7</v>
      </c>
      <c r="B2" t="s">
        <v>5</v>
      </c>
      <c r="C2" t="s">
        <v>94</v>
      </c>
      <c r="D2" t="e">
        <f>VLOOKUP(C2,#REF!,2,FALSE)</f>
        <v>#REF!</v>
      </c>
      <c r="E2" t="s">
        <v>9</v>
      </c>
      <c r="F2" t="s">
        <v>10</v>
      </c>
      <c r="G2" s="1">
        <v>14.5</v>
      </c>
      <c r="H2" s="1">
        <v>10.199999999999999</v>
      </c>
      <c r="I2">
        <v>8.1</v>
      </c>
      <c r="J2">
        <v>37.4</v>
      </c>
      <c r="K2" t="s">
        <v>37</v>
      </c>
      <c r="L2">
        <v>1</v>
      </c>
      <c r="M2" t="s">
        <v>102</v>
      </c>
      <c r="N2">
        <v>28</v>
      </c>
    </row>
    <row r="3" spans="1:14" x14ac:dyDescent="0.35">
      <c r="A3" t="s">
        <v>7</v>
      </c>
      <c r="B3" t="s">
        <v>5</v>
      </c>
      <c r="C3" t="s">
        <v>94</v>
      </c>
      <c r="D3" t="e">
        <f>VLOOKUP(C3,#REF!,2,FALSE)</f>
        <v>#REF!</v>
      </c>
      <c r="E3" t="s">
        <v>18</v>
      </c>
      <c r="F3" t="s">
        <v>11</v>
      </c>
      <c r="G3" s="1">
        <v>17.170000000000002</v>
      </c>
      <c r="H3" s="1">
        <v>10.199999999999999</v>
      </c>
      <c r="I3">
        <v>8.4</v>
      </c>
      <c r="J3">
        <v>37.5</v>
      </c>
      <c r="K3" t="s">
        <v>41</v>
      </c>
      <c r="L3">
        <v>0</v>
      </c>
      <c r="N3">
        <v>28</v>
      </c>
    </row>
    <row r="4" spans="1:14" x14ac:dyDescent="0.35">
      <c r="A4" t="s">
        <v>7</v>
      </c>
      <c r="B4" t="s">
        <v>5</v>
      </c>
      <c r="C4" t="s">
        <v>94</v>
      </c>
      <c r="D4" t="e">
        <f>VLOOKUP(C4,#REF!,2,FALSE)</f>
        <v>#REF!</v>
      </c>
      <c r="E4" t="s">
        <v>19</v>
      </c>
      <c r="F4" t="s">
        <v>12</v>
      </c>
      <c r="G4" s="1">
        <v>15.69</v>
      </c>
      <c r="H4" s="1">
        <v>9.9</v>
      </c>
      <c r="I4">
        <v>8.1</v>
      </c>
      <c r="J4">
        <v>37.5</v>
      </c>
      <c r="K4" t="s">
        <v>44</v>
      </c>
      <c r="L4">
        <v>1</v>
      </c>
      <c r="M4" t="s">
        <v>103</v>
      </c>
      <c r="N4">
        <v>28</v>
      </c>
    </row>
    <row r="5" spans="1:14" x14ac:dyDescent="0.35">
      <c r="A5" t="s">
        <v>7</v>
      </c>
      <c r="B5" t="s">
        <v>5</v>
      </c>
      <c r="C5" t="s">
        <v>94</v>
      </c>
      <c r="D5" t="e">
        <f>VLOOKUP(C5,#REF!,2,FALSE)</f>
        <v>#REF!</v>
      </c>
      <c r="E5" t="s">
        <v>20</v>
      </c>
      <c r="F5" t="s">
        <v>13</v>
      </c>
      <c r="G5" s="1">
        <v>13.28</v>
      </c>
      <c r="H5" s="1">
        <v>9.5</v>
      </c>
      <c r="I5">
        <v>7.7</v>
      </c>
      <c r="J5">
        <v>37.5</v>
      </c>
      <c r="K5" t="s">
        <v>45</v>
      </c>
      <c r="L5">
        <v>0</v>
      </c>
      <c r="N5">
        <v>28</v>
      </c>
    </row>
    <row r="6" spans="1:14" x14ac:dyDescent="0.35">
      <c r="A6" t="s">
        <v>7</v>
      </c>
      <c r="B6" t="s">
        <v>5</v>
      </c>
      <c r="C6" t="s">
        <v>94</v>
      </c>
      <c r="D6" t="e">
        <f>VLOOKUP(C6,#REF!,2,FALSE)</f>
        <v>#REF!</v>
      </c>
      <c r="E6" t="s">
        <v>19</v>
      </c>
      <c r="F6" t="s">
        <v>14</v>
      </c>
      <c r="G6" s="1">
        <v>16.57</v>
      </c>
      <c r="H6" s="1">
        <v>10.4</v>
      </c>
      <c r="I6">
        <v>8.3000000000000007</v>
      </c>
      <c r="J6">
        <v>37.5</v>
      </c>
      <c r="K6" t="s">
        <v>46</v>
      </c>
      <c r="L6">
        <v>0</v>
      </c>
      <c r="N6">
        <v>28</v>
      </c>
    </row>
    <row r="7" spans="1:14" x14ac:dyDescent="0.35">
      <c r="A7" t="s">
        <v>7</v>
      </c>
      <c r="B7" t="s">
        <v>5</v>
      </c>
      <c r="C7" t="s">
        <v>94</v>
      </c>
      <c r="D7" t="e">
        <f>VLOOKUP(C7,#REF!,2,FALSE)</f>
        <v>#REF!</v>
      </c>
      <c r="E7" t="s">
        <v>21</v>
      </c>
      <c r="F7" t="s">
        <v>15</v>
      </c>
      <c r="G7" s="1">
        <v>14.79</v>
      </c>
      <c r="H7" s="1">
        <v>9.8000000000000007</v>
      </c>
      <c r="I7">
        <v>7.9</v>
      </c>
      <c r="J7">
        <v>37.5</v>
      </c>
      <c r="K7" t="s">
        <v>47</v>
      </c>
      <c r="L7">
        <v>0</v>
      </c>
      <c r="N7">
        <v>28</v>
      </c>
    </row>
    <row r="8" spans="1:14" x14ac:dyDescent="0.35">
      <c r="A8" t="s">
        <v>7</v>
      </c>
      <c r="B8" t="s">
        <v>5</v>
      </c>
      <c r="C8" t="s">
        <v>94</v>
      </c>
      <c r="D8" t="e">
        <f>VLOOKUP(C8,#REF!,2,FALSE)</f>
        <v>#REF!</v>
      </c>
      <c r="E8" t="s">
        <v>22</v>
      </c>
      <c r="F8" t="s">
        <v>16</v>
      </c>
      <c r="G8" s="1">
        <v>15.1</v>
      </c>
      <c r="H8" s="1">
        <v>9.9</v>
      </c>
      <c r="I8">
        <v>8.1</v>
      </c>
      <c r="J8">
        <v>37.6</v>
      </c>
      <c r="K8" t="s">
        <v>48</v>
      </c>
      <c r="L8">
        <v>1</v>
      </c>
      <c r="M8" t="s">
        <v>103</v>
      </c>
      <c r="N8">
        <v>28</v>
      </c>
    </row>
    <row r="9" spans="1:14" x14ac:dyDescent="0.35">
      <c r="A9" t="s">
        <v>7</v>
      </c>
      <c r="B9" t="s">
        <v>5</v>
      </c>
      <c r="C9" t="s">
        <v>94</v>
      </c>
      <c r="D9" t="e">
        <f>VLOOKUP(C9,#REF!,2,FALSE)</f>
        <v>#REF!</v>
      </c>
      <c r="E9" t="s">
        <v>23</v>
      </c>
      <c r="F9" t="s">
        <v>17</v>
      </c>
      <c r="G9" s="1">
        <v>16.39</v>
      </c>
      <c r="H9" s="1">
        <v>10.199999999999999</v>
      </c>
      <c r="I9">
        <v>8.3000000000000007</v>
      </c>
      <c r="J9">
        <v>37.9</v>
      </c>
      <c r="K9" t="s">
        <v>49</v>
      </c>
      <c r="L9">
        <v>1</v>
      </c>
      <c r="M9" t="s">
        <v>102</v>
      </c>
      <c r="N9">
        <v>28</v>
      </c>
    </row>
    <row r="10" spans="1:14" x14ac:dyDescent="0.35">
      <c r="A10" t="s">
        <v>27</v>
      </c>
      <c r="B10" t="s">
        <v>5</v>
      </c>
      <c r="C10" t="s">
        <v>96</v>
      </c>
      <c r="D10" t="e">
        <f>VLOOKUP(C10,#REF!,2,FALSE)</f>
        <v>#REF!</v>
      </c>
      <c r="E10" t="s">
        <v>28</v>
      </c>
      <c r="F10" t="s">
        <v>10</v>
      </c>
      <c r="G10" s="1">
        <v>17.48</v>
      </c>
      <c r="H10" s="1">
        <v>10.4</v>
      </c>
      <c r="I10">
        <v>8.6999999999999993</v>
      </c>
      <c r="J10">
        <v>38.299999999999997</v>
      </c>
      <c r="K10" t="s">
        <v>38</v>
      </c>
      <c r="L10">
        <v>1</v>
      </c>
      <c r="M10" t="s">
        <v>103</v>
      </c>
      <c r="N10">
        <v>32</v>
      </c>
    </row>
    <row r="11" spans="1:14" x14ac:dyDescent="0.35">
      <c r="A11" t="s">
        <v>27</v>
      </c>
      <c r="B11" t="s">
        <v>5</v>
      </c>
      <c r="C11" t="s">
        <v>96</v>
      </c>
      <c r="D11" t="e">
        <f>VLOOKUP(C11,#REF!,2,FALSE)</f>
        <v>#REF!</v>
      </c>
      <c r="E11" t="s">
        <v>9</v>
      </c>
      <c r="F11" t="s">
        <v>11</v>
      </c>
      <c r="G11" s="1">
        <v>23.38</v>
      </c>
      <c r="H11" s="1">
        <v>11.5</v>
      </c>
      <c r="I11">
        <v>9.6</v>
      </c>
      <c r="J11">
        <v>38.299999999999997</v>
      </c>
      <c r="K11" t="s">
        <v>42</v>
      </c>
      <c r="L11">
        <v>1</v>
      </c>
      <c r="M11" t="s">
        <v>103</v>
      </c>
      <c r="N11">
        <v>32</v>
      </c>
    </row>
    <row r="12" spans="1:14" x14ac:dyDescent="0.35">
      <c r="A12" t="s">
        <v>27</v>
      </c>
      <c r="B12" t="s">
        <v>5</v>
      </c>
      <c r="C12" t="s">
        <v>96</v>
      </c>
      <c r="D12" t="e">
        <f>VLOOKUP(C12,#REF!,2,FALSE)</f>
        <v>#REF!</v>
      </c>
      <c r="E12" t="s">
        <v>9</v>
      </c>
      <c r="F12" t="s">
        <v>12</v>
      </c>
      <c r="G12" s="1">
        <v>19.95</v>
      </c>
      <c r="H12" s="1">
        <v>11</v>
      </c>
      <c r="I12">
        <v>9.1999999999999993</v>
      </c>
      <c r="J12">
        <v>38.299999999999997</v>
      </c>
      <c r="K12" t="s">
        <v>50</v>
      </c>
      <c r="L12">
        <v>1</v>
      </c>
      <c r="M12" t="s">
        <v>103</v>
      </c>
      <c r="N12">
        <v>32</v>
      </c>
    </row>
    <row r="13" spans="1:14" x14ac:dyDescent="0.35">
      <c r="A13" t="s">
        <v>27</v>
      </c>
      <c r="B13" t="s">
        <v>5</v>
      </c>
      <c r="C13" t="s">
        <v>96</v>
      </c>
      <c r="D13" t="e">
        <f>VLOOKUP(C13,#REF!,2,FALSE)</f>
        <v>#REF!</v>
      </c>
      <c r="E13" t="s">
        <v>21</v>
      </c>
      <c r="F13" t="s">
        <v>13</v>
      </c>
      <c r="G13" s="1">
        <v>16.149999999999999</v>
      </c>
      <c r="H13" s="1">
        <v>10.199999999999999</v>
      </c>
      <c r="I13">
        <v>8.3000000000000007</v>
      </c>
      <c r="J13">
        <v>38.299999999999997</v>
      </c>
      <c r="K13" t="s">
        <v>51</v>
      </c>
      <c r="L13">
        <v>0</v>
      </c>
      <c r="N13">
        <v>32</v>
      </c>
    </row>
    <row r="14" spans="1:14" x14ac:dyDescent="0.35">
      <c r="A14" t="s">
        <v>27</v>
      </c>
      <c r="B14" t="s">
        <v>5</v>
      </c>
      <c r="C14" t="s">
        <v>96</v>
      </c>
      <c r="D14" t="e">
        <f>VLOOKUP(C14,#REF!,2,FALSE)</f>
        <v>#REF!</v>
      </c>
      <c r="E14" t="s">
        <v>19</v>
      </c>
      <c r="F14" t="s">
        <v>14</v>
      </c>
      <c r="G14" s="1">
        <v>14.67</v>
      </c>
      <c r="H14" s="1">
        <v>9.9</v>
      </c>
      <c r="I14">
        <v>8</v>
      </c>
      <c r="J14">
        <v>38.299999999999997</v>
      </c>
      <c r="K14" t="s">
        <v>52</v>
      </c>
      <c r="L14">
        <v>1</v>
      </c>
      <c r="M14" t="s">
        <v>103</v>
      </c>
      <c r="N14">
        <v>32</v>
      </c>
    </row>
    <row r="15" spans="1:14" x14ac:dyDescent="0.35">
      <c r="A15" t="s">
        <v>29</v>
      </c>
      <c r="B15" t="s">
        <v>5</v>
      </c>
      <c r="C15" t="s">
        <v>95</v>
      </c>
      <c r="D15" t="e">
        <f>VLOOKUP(C15,#REF!,2,FALSE)</f>
        <v>#REF!</v>
      </c>
      <c r="E15" t="s">
        <v>21</v>
      </c>
      <c r="F15" t="s">
        <v>10</v>
      </c>
      <c r="G15" s="1">
        <v>20.05</v>
      </c>
      <c r="H15" s="1">
        <v>10.4</v>
      </c>
      <c r="I15">
        <v>8.6</v>
      </c>
      <c r="J15">
        <v>37.5</v>
      </c>
      <c r="K15" t="s">
        <v>39</v>
      </c>
      <c r="L15">
        <v>1</v>
      </c>
      <c r="M15" t="s">
        <v>103</v>
      </c>
      <c r="N15">
        <v>30</v>
      </c>
    </row>
    <row r="16" spans="1:14" x14ac:dyDescent="0.35">
      <c r="A16" t="s">
        <v>29</v>
      </c>
      <c r="B16" t="s">
        <v>5</v>
      </c>
      <c r="C16" t="s">
        <v>95</v>
      </c>
      <c r="D16" t="e">
        <f>VLOOKUP(C16,#REF!,2,FALSE)</f>
        <v>#REF!</v>
      </c>
      <c r="E16" t="s">
        <v>21</v>
      </c>
      <c r="F16" t="s">
        <v>11</v>
      </c>
      <c r="G16" s="1">
        <v>23.14</v>
      </c>
      <c r="H16" s="1">
        <v>11.7</v>
      </c>
      <c r="I16">
        <v>9.4</v>
      </c>
      <c r="J16">
        <v>37.799999999999997</v>
      </c>
      <c r="K16" t="s">
        <v>43</v>
      </c>
      <c r="L16">
        <v>0</v>
      </c>
      <c r="N16">
        <v>30</v>
      </c>
    </row>
    <row r="17" spans="1:14" x14ac:dyDescent="0.35">
      <c r="A17" t="s">
        <v>29</v>
      </c>
      <c r="B17" t="s">
        <v>5</v>
      </c>
      <c r="C17" t="s">
        <v>95</v>
      </c>
      <c r="D17" t="e">
        <f>VLOOKUP(C17,#REF!,2,FALSE)</f>
        <v>#REF!</v>
      </c>
      <c r="E17" t="s">
        <v>30</v>
      </c>
      <c r="F17" t="s">
        <v>12</v>
      </c>
      <c r="G17" s="1">
        <v>17.440000000000001</v>
      </c>
      <c r="H17" s="1">
        <v>10.3</v>
      </c>
      <c r="I17">
        <v>8.3000000000000007</v>
      </c>
      <c r="J17">
        <v>37.799999999999997</v>
      </c>
      <c r="K17" t="s">
        <v>53</v>
      </c>
      <c r="L17">
        <v>0</v>
      </c>
      <c r="N17">
        <v>30</v>
      </c>
    </row>
    <row r="18" spans="1:14" x14ac:dyDescent="0.35">
      <c r="A18" t="s">
        <v>29</v>
      </c>
      <c r="B18" t="s">
        <v>5</v>
      </c>
      <c r="C18" t="s">
        <v>95</v>
      </c>
      <c r="D18" t="e">
        <f>VLOOKUP(C18,#REF!,2,FALSE)</f>
        <v>#REF!</v>
      </c>
      <c r="E18" t="s">
        <v>19</v>
      </c>
      <c r="F18" t="s">
        <v>13</v>
      </c>
      <c r="G18" s="1">
        <v>21.96</v>
      </c>
      <c r="H18" s="1">
        <v>11.3</v>
      </c>
      <c r="I18">
        <v>9.1</v>
      </c>
      <c r="J18">
        <v>37.799999999999997</v>
      </c>
      <c r="K18" t="s">
        <v>54</v>
      </c>
      <c r="L18">
        <v>1</v>
      </c>
      <c r="M18" t="s">
        <v>103</v>
      </c>
      <c r="N18">
        <v>30</v>
      </c>
    </row>
    <row r="19" spans="1:14" x14ac:dyDescent="0.35">
      <c r="A19" t="s">
        <v>29</v>
      </c>
      <c r="B19" t="s">
        <v>5</v>
      </c>
      <c r="C19" t="s">
        <v>95</v>
      </c>
      <c r="D19" t="e">
        <f>VLOOKUP(C19,#REF!,2,FALSE)</f>
        <v>#REF!</v>
      </c>
      <c r="E19" t="s">
        <v>30</v>
      </c>
      <c r="F19" t="s">
        <v>14</v>
      </c>
      <c r="G19" s="1">
        <v>14.9</v>
      </c>
      <c r="H19" s="1">
        <v>9.8000000000000007</v>
      </c>
      <c r="I19">
        <v>7.8</v>
      </c>
      <c r="J19">
        <v>37.9</v>
      </c>
      <c r="K19" t="s">
        <v>40</v>
      </c>
      <c r="L19">
        <v>1</v>
      </c>
      <c r="M19" t="s">
        <v>103</v>
      </c>
      <c r="N19">
        <v>30</v>
      </c>
    </row>
    <row r="20" spans="1:14" x14ac:dyDescent="0.35">
      <c r="A20" t="s">
        <v>29</v>
      </c>
      <c r="B20" t="s">
        <v>5</v>
      </c>
      <c r="C20" t="s">
        <v>95</v>
      </c>
      <c r="D20" t="e">
        <f>VLOOKUP(C20,#REF!,2,FALSE)</f>
        <v>#REF!</v>
      </c>
      <c r="E20" t="s">
        <v>28</v>
      </c>
      <c r="F20" t="s">
        <v>15</v>
      </c>
      <c r="G20" s="1">
        <v>18.89</v>
      </c>
      <c r="H20" s="1">
        <v>10.4</v>
      </c>
      <c r="I20">
        <v>8.6</v>
      </c>
      <c r="J20">
        <v>37.9</v>
      </c>
      <c r="K20" t="s">
        <v>55</v>
      </c>
      <c r="L20">
        <v>1</v>
      </c>
      <c r="M20" t="s">
        <v>103</v>
      </c>
      <c r="N20">
        <v>30</v>
      </c>
    </row>
    <row r="21" spans="1:14" x14ac:dyDescent="0.35">
      <c r="A21" t="s">
        <v>29</v>
      </c>
      <c r="B21" t="s">
        <v>5</v>
      </c>
      <c r="C21" t="s">
        <v>95</v>
      </c>
      <c r="D21" t="e">
        <f>VLOOKUP(C21,#REF!,2,FALSE)</f>
        <v>#REF!</v>
      </c>
      <c r="E21" t="s">
        <v>19</v>
      </c>
      <c r="F21" t="s">
        <v>16</v>
      </c>
      <c r="G21" s="1">
        <v>14.44</v>
      </c>
      <c r="H21" s="1">
        <v>9.6999999999999993</v>
      </c>
      <c r="I21">
        <v>7.8</v>
      </c>
      <c r="J21">
        <v>37.9</v>
      </c>
      <c r="K21" t="s">
        <v>56</v>
      </c>
      <c r="L21">
        <v>1</v>
      </c>
      <c r="M21" t="s">
        <v>103</v>
      </c>
      <c r="N21">
        <v>30</v>
      </c>
    </row>
    <row r="22" spans="1:14" x14ac:dyDescent="0.35">
      <c r="A22" t="s">
        <v>29</v>
      </c>
      <c r="B22" t="s">
        <v>5</v>
      </c>
      <c r="C22" t="s">
        <v>95</v>
      </c>
      <c r="D22" t="e">
        <f>VLOOKUP(C22,#REF!,2,FALSE)</f>
        <v>#REF!</v>
      </c>
      <c r="E22" t="s">
        <v>19</v>
      </c>
      <c r="F22" t="s">
        <v>17</v>
      </c>
      <c r="G22" s="1">
        <v>21.76</v>
      </c>
      <c r="H22" s="1">
        <v>11.1</v>
      </c>
      <c r="I22">
        <v>8.9</v>
      </c>
      <c r="J22">
        <v>37.9</v>
      </c>
      <c r="K22" t="s">
        <v>57</v>
      </c>
      <c r="L22">
        <v>1</v>
      </c>
      <c r="M22" t="s">
        <v>103</v>
      </c>
      <c r="N22">
        <v>30</v>
      </c>
    </row>
    <row r="23" spans="1:14" x14ac:dyDescent="0.35">
      <c r="A23" t="s">
        <v>32</v>
      </c>
      <c r="B23" t="s">
        <v>6</v>
      </c>
      <c r="C23" t="s">
        <v>94</v>
      </c>
      <c r="D23" t="e">
        <f>VLOOKUP(C23,#REF!,2,FALSE)</f>
        <v>#REF!</v>
      </c>
      <c r="E23" t="s">
        <v>31</v>
      </c>
      <c r="F23" t="s">
        <v>10</v>
      </c>
      <c r="G23" s="1">
        <v>27.34</v>
      </c>
      <c r="H23" s="1">
        <v>12</v>
      </c>
      <c r="I23">
        <v>9.6999999999999993</v>
      </c>
      <c r="J23">
        <v>37.6</v>
      </c>
      <c r="K23" t="s">
        <v>58</v>
      </c>
      <c r="L23">
        <v>1</v>
      </c>
      <c r="M23" t="s">
        <v>103</v>
      </c>
      <c r="N23">
        <v>28</v>
      </c>
    </row>
    <row r="24" spans="1:14" x14ac:dyDescent="0.35">
      <c r="A24" t="s">
        <v>32</v>
      </c>
      <c r="B24" t="s">
        <v>6</v>
      </c>
      <c r="C24" t="s">
        <v>94</v>
      </c>
      <c r="D24" t="e">
        <f>VLOOKUP(C24,#REF!,2,FALSE)</f>
        <v>#REF!</v>
      </c>
      <c r="E24" t="s">
        <v>30</v>
      </c>
      <c r="F24" t="s">
        <v>11</v>
      </c>
      <c r="G24" s="1">
        <v>26.78</v>
      </c>
      <c r="H24" s="1">
        <v>12.1</v>
      </c>
      <c r="I24">
        <v>9.6999999999999993</v>
      </c>
      <c r="J24">
        <v>37.6</v>
      </c>
      <c r="K24" t="s">
        <v>59</v>
      </c>
      <c r="L24">
        <v>1</v>
      </c>
      <c r="M24" t="s">
        <v>103</v>
      </c>
      <c r="N24">
        <v>28</v>
      </c>
    </row>
    <row r="25" spans="1:14" x14ac:dyDescent="0.35">
      <c r="A25" t="s">
        <v>32</v>
      </c>
      <c r="B25" t="s">
        <v>6</v>
      </c>
      <c r="C25" t="s">
        <v>94</v>
      </c>
      <c r="D25" t="e">
        <f>VLOOKUP(C25,#REF!,2,FALSE)</f>
        <v>#REF!</v>
      </c>
      <c r="E25" t="s">
        <v>34</v>
      </c>
      <c r="F25" t="s">
        <v>12</v>
      </c>
      <c r="G25" s="1">
        <v>24.27</v>
      </c>
      <c r="H25" s="1">
        <v>11.6</v>
      </c>
      <c r="I25">
        <v>9.4</v>
      </c>
      <c r="J25">
        <v>37.700000000000003</v>
      </c>
      <c r="K25" t="s">
        <v>60</v>
      </c>
      <c r="L25">
        <v>1</v>
      </c>
      <c r="M25" t="s">
        <v>103</v>
      </c>
      <c r="N25">
        <v>28</v>
      </c>
    </row>
    <row r="26" spans="1:14" x14ac:dyDescent="0.35">
      <c r="A26" t="s">
        <v>32</v>
      </c>
      <c r="B26" t="s">
        <v>6</v>
      </c>
      <c r="C26" t="s">
        <v>94</v>
      </c>
      <c r="D26" t="e">
        <f>VLOOKUP(C26,#REF!,2,FALSE)</f>
        <v>#REF!</v>
      </c>
      <c r="E26" t="s">
        <v>35</v>
      </c>
      <c r="F26" t="s">
        <v>13</v>
      </c>
      <c r="G26" s="1">
        <v>20.8</v>
      </c>
      <c r="H26" s="1">
        <v>10.7</v>
      </c>
      <c r="I26">
        <v>8.6999999999999993</v>
      </c>
      <c r="J26">
        <v>37.700000000000003</v>
      </c>
      <c r="K26" t="s">
        <v>61</v>
      </c>
      <c r="L26">
        <v>0</v>
      </c>
      <c r="N26">
        <v>28</v>
      </c>
    </row>
    <row r="27" spans="1:14" x14ac:dyDescent="0.35">
      <c r="A27" t="s">
        <v>32</v>
      </c>
      <c r="B27" t="s">
        <v>6</v>
      </c>
      <c r="C27" t="s">
        <v>94</v>
      </c>
      <c r="D27" t="e">
        <f>VLOOKUP(C27,#REF!,2,FALSE)</f>
        <v>#REF!</v>
      </c>
      <c r="E27" t="s">
        <v>23</v>
      </c>
      <c r="F27" t="s">
        <v>14</v>
      </c>
      <c r="G27" s="1">
        <v>19.760000000000002</v>
      </c>
      <c r="H27" s="1">
        <v>16.899999999999999</v>
      </c>
      <c r="I27">
        <v>8.9</v>
      </c>
      <c r="J27">
        <v>37.700000000000003</v>
      </c>
      <c r="K27" t="s">
        <v>62</v>
      </c>
      <c r="L27">
        <v>1</v>
      </c>
      <c r="M27" t="s">
        <v>103</v>
      </c>
      <c r="N27">
        <v>28</v>
      </c>
    </row>
    <row r="28" spans="1:14" x14ac:dyDescent="0.35">
      <c r="A28" t="s">
        <v>32</v>
      </c>
      <c r="B28" t="s">
        <v>6</v>
      </c>
      <c r="C28" t="s">
        <v>94</v>
      </c>
      <c r="D28" t="e">
        <f>VLOOKUP(C28,#REF!,2,FALSE)</f>
        <v>#REF!</v>
      </c>
      <c r="E28" t="s">
        <v>34</v>
      </c>
      <c r="F28" t="s">
        <v>15</v>
      </c>
      <c r="G28" s="1">
        <v>17.21</v>
      </c>
      <c r="H28" s="1">
        <v>10.6</v>
      </c>
      <c r="I28">
        <v>8.4</v>
      </c>
      <c r="J28">
        <v>37.6</v>
      </c>
      <c r="K28" t="s">
        <v>63</v>
      </c>
      <c r="L28">
        <v>1</v>
      </c>
      <c r="M28" t="s">
        <v>103</v>
      </c>
      <c r="N28">
        <v>28</v>
      </c>
    </row>
    <row r="29" spans="1:14" x14ac:dyDescent="0.35">
      <c r="A29" t="s">
        <v>32</v>
      </c>
      <c r="B29" t="s">
        <v>6</v>
      </c>
      <c r="C29" t="s">
        <v>94</v>
      </c>
      <c r="D29" t="e">
        <f>VLOOKUP(C29,#REF!,2,FALSE)</f>
        <v>#REF!</v>
      </c>
      <c r="E29" t="s">
        <v>34</v>
      </c>
      <c r="F29" t="s">
        <v>16</v>
      </c>
      <c r="G29" s="1">
        <v>17.64</v>
      </c>
      <c r="H29" s="1">
        <v>10.7</v>
      </c>
      <c r="I29">
        <v>8.6999999999999993</v>
      </c>
      <c r="J29">
        <v>37.6</v>
      </c>
      <c r="K29" t="s">
        <v>64</v>
      </c>
      <c r="L29">
        <v>0</v>
      </c>
      <c r="N29">
        <v>28</v>
      </c>
    </row>
    <row r="30" spans="1:14" x14ac:dyDescent="0.35">
      <c r="A30" t="s">
        <v>32</v>
      </c>
      <c r="B30" t="s">
        <v>6</v>
      </c>
      <c r="C30" t="s">
        <v>94</v>
      </c>
      <c r="D30" t="e">
        <f>VLOOKUP(C30,#REF!,2,FALSE)</f>
        <v>#REF!</v>
      </c>
      <c r="E30" t="s">
        <v>34</v>
      </c>
      <c r="F30" t="s">
        <v>17</v>
      </c>
      <c r="G30" s="1">
        <v>20.27</v>
      </c>
      <c r="H30" s="1">
        <v>11</v>
      </c>
      <c r="I30">
        <v>8.8000000000000007</v>
      </c>
      <c r="J30">
        <v>37.9</v>
      </c>
      <c r="K30" t="s">
        <v>65</v>
      </c>
      <c r="L30">
        <v>1</v>
      </c>
      <c r="M30" t="s">
        <v>103</v>
      </c>
      <c r="N30">
        <v>28</v>
      </c>
    </row>
    <row r="31" spans="1:14" x14ac:dyDescent="0.35">
      <c r="A31" t="s">
        <v>33</v>
      </c>
      <c r="B31" t="s">
        <v>6</v>
      </c>
      <c r="C31" t="s">
        <v>96</v>
      </c>
      <c r="D31" t="e">
        <f>VLOOKUP(C31,#REF!,2,FALSE)</f>
        <v>#REF!</v>
      </c>
      <c r="E31" t="s">
        <v>22</v>
      </c>
      <c r="F31" t="s">
        <v>10</v>
      </c>
      <c r="G31" s="1">
        <v>31.7</v>
      </c>
      <c r="H31" s="1">
        <v>12.4</v>
      </c>
      <c r="I31">
        <v>10.199999999999999</v>
      </c>
      <c r="J31">
        <v>38</v>
      </c>
      <c r="K31" t="s">
        <v>66</v>
      </c>
      <c r="L31">
        <v>1</v>
      </c>
      <c r="M31" t="s">
        <v>103</v>
      </c>
      <c r="N31">
        <v>32</v>
      </c>
    </row>
    <row r="32" spans="1:14" x14ac:dyDescent="0.35">
      <c r="A32" t="s">
        <v>33</v>
      </c>
      <c r="B32" t="s">
        <v>6</v>
      </c>
      <c r="C32" t="s">
        <v>96</v>
      </c>
      <c r="D32" t="e">
        <f>VLOOKUP(C32,#REF!,2,FALSE)</f>
        <v>#REF!</v>
      </c>
      <c r="E32" t="s">
        <v>23</v>
      </c>
      <c r="F32" t="s">
        <v>11</v>
      </c>
      <c r="G32" s="1">
        <v>32.020000000000003</v>
      </c>
      <c r="H32" s="1">
        <v>12.9</v>
      </c>
      <c r="I32">
        <v>10.5</v>
      </c>
      <c r="J32">
        <v>38</v>
      </c>
      <c r="K32" t="s">
        <v>67</v>
      </c>
      <c r="L32">
        <v>1</v>
      </c>
      <c r="M32" t="s">
        <v>103</v>
      </c>
      <c r="N32">
        <v>32</v>
      </c>
    </row>
    <row r="33" spans="1:14" x14ac:dyDescent="0.35">
      <c r="A33" t="s">
        <v>33</v>
      </c>
      <c r="B33" t="s">
        <v>6</v>
      </c>
      <c r="C33" t="s">
        <v>96</v>
      </c>
      <c r="D33" t="e">
        <f>VLOOKUP(C33,#REF!,2,FALSE)</f>
        <v>#REF!</v>
      </c>
      <c r="E33" t="s">
        <v>35</v>
      </c>
      <c r="F33" t="s">
        <v>12</v>
      </c>
      <c r="G33" s="1">
        <v>31.3</v>
      </c>
      <c r="H33" s="1">
        <v>12.6</v>
      </c>
      <c r="I33">
        <v>10.4</v>
      </c>
      <c r="J33">
        <v>38.200000000000003</v>
      </c>
      <c r="K33" t="s">
        <v>68</v>
      </c>
      <c r="L33">
        <v>1</v>
      </c>
      <c r="M33" t="s">
        <v>103</v>
      </c>
      <c r="N33">
        <v>32</v>
      </c>
    </row>
    <row r="34" spans="1:14" x14ac:dyDescent="0.35">
      <c r="A34" t="s">
        <v>33</v>
      </c>
      <c r="B34" t="s">
        <v>6</v>
      </c>
      <c r="C34" t="s">
        <v>96</v>
      </c>
      <c r="D34" t="e">
        <f>VLOOKUP(C34,#REF!,2,FALSE)</f>
        <v>#REF!</v>
      </c>
      <c r="E34" t="s">
        <v>35</v>
      </c>
      <c r="F34" t="s">
        <v>13</v>
      </c>
      <c r="G34" s="1">
        <v>33.04</v>
      </c>
      <c r="H34" s="1">
        <v>11.2</v>
      </c>
      <c r="I34">
        <v>9.1999999999999993</v>
      </c>
      <c r="J34">
        <v>38.200000000000003</v>
      </c>
      <c r="K34" t="s">
        <v>69</v>
      </c>
      <c r="L34">
        <v>0</v>
      </c>
      <c r="N34">
        <v>32</v>
      </c>
    </row>
    <row r="35" spans="1:14" x14ac:dyDescent="0.35">
      <c r="A35" t="s">
        <v>33</v>
      </c>
      <c r="B35" t="s">
        <v>6</v>
      </c>
      <c r="C35" t="s">
        <v>96</v>
      </c>
      <c r="D35" t="e">
        <f>VLOOKUP(C35,#REF!,2,FALSE)</f>
        <v>#REF!</v>
      </c>
      <c r="E35" t="s">
        <v>30</v>
      </c>
      <c r="F35" t="s">
        <v>14</v>
      </c>
      <c r="G35" s="1">
        <v>30.58</v>
      </c>
      <c r="H35" s="1">
        <v>12.2</v>
      </c>
      <c r="I35">
        <v>10.199999999999999</v>
      </c>
      <c r="J35">
        <v>38.299999999999997</v>
      </c>
      <c r="K35" t="s">
        <v>70</v>
      </c>
      <c r="L35">
        <v>0</v>
      </c>
      <c r="N35">
        <v>32</v>
      </c>
    </row>
    <row r="36" spans="1:14" x14ac:dyDescent="0.35">
      <c r="A36" t="s">
        <v>33</v>
      </c>
      <c r="B36" t="s">
        <v>6</v>
      </c>
      <c r="C36" t="s">
        <v>96</v>
      </c>
      <c r="D36" t="e">
        <f>VLOOKUP(C36,#REF!,2,FALSE)</f>
        <v>#REF!</v>
      </c>
      <c r="E36" t="s">
        <v>30</v>
      </c>
      <c r="F36" t="s">
        <v>15</v>
      </c>
      <c r="G36" s="1">
        <v>34.69</v>
      </c>
      <c r="H36" s="1">
        <v>12.7</v>
      </c>
      <c r="I36">
        <v>10.4</v>
      </c>
      <c r="J36">
        <v>38.299999999999997</v>
      </c>
      <c r="K36" t="s">
        <v>71</v>
      </c>
      <c r="L36">
        <v>1</v>
      </c>
      <c r="M36" t="s">
        <v>103</v>
      </c>
      <c r="N36">
        <v>32</v>
      </c>
    </row>
    <row r="37" spans="1:14" x14ac:dyDescent="0.35">
      <c r="A37" t="s">
        <v>33</v>
      </c>
      <c r="B37" t="s">
        <v>6</v>
      </c>
      <c r="C37" t="s">
        <v>96</v>
      </c>
      <c r="D37" t="e">
        <f>VLOOKUP(C37,#REF!,2,FALSE)</f>
        <v>#REF!</v>
      </c>
      <c r="E37" t="s">
        <v>23</v>
      </c>
      <c r="F37" t="s">
        <v>16</v>
      </c>
      <c r="G37" s="1">
        <v>24.09</v>
      </c>
      <c r="H37" s="1">
        <v>11.9</v>
      </c>
      <c r="I37">
        <v>9.6999999999999993</v>
      </c>
      <c r="J37">
        <v>38.299999999999997</v>
      </c>
      <c r="K37" t="s">
        <v>72</v>
      </c>
      <c r="L37">
        <v>0</v>
      </c>
      <c r="N37">
        <v>32</v>
      </c>
    </row>
    <row r="38" spans="1:14" x14ac:dyDescent="0.35">
      <c r="A38" t="s">
        <v>33</v>
      </c>
      <c r="B38" t="s">
        <v>6</v>
      </c>
      <c r="C38" t="s">
        <v>96</v>
      </c>
      <c r="D38" t="e">
        <f>VLOOKUP(C38,#REF!,2,FALSE)</f>
        <v>#REF!</v>
      </c>
      <c r="E38" t="s">
        <v>22</v>
      </c>
      <c r="F38" t="s">
        <v>17</v>
      </c>
      <c r="G38" s="1">
        <v>34.520000000000003</v>
      </c>
      <c r="H38" s="1">
        <v>12.5</v>
      </c>
      <c r="I38">
        <v>10.3</v>
      </c>
      <c r="J38">
        <v>38.299999999999997</v>
      </c>
      <c r="K38" t="s">
        <v>73</v>
      </c>
      <c r="L38">
        <v>1</v>
      </c>
      <c r="M38" t="s">
        <v>103</v>
      </c>
      <c r="N38">
        <v>32</v>
      </c>
    </row>
  </sheetData>
  <autoFilter ref="A1:K38" xr:uid="{00000000-0009-0000-0000-000004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topLeftCell="A4" workbookViewId="0">
      <selection activeCell="K11" sqref="K11"/>
    </sheetView>
  </sheetViews>
  <sheetFormatPr defaultRowHeight="14.5" x14ac:dyDescent="0.35"/>
  <cols>
    <col min="1" max="1" width="18.453125" bestFit="1" customWidth="1"/>
  </cols>
  <sheetData>
    <row r="1" spans="1:2" x14ac:dyDescent="0.35">
      <c r="A1" s="5" t="s">
        <v>115</v>
      </c>
    </row>
    <row r="3" spans="1:2" x14ac:dyDescent="0.35">
      <c r="A3" t="s">
        <v>3</v>
      </c>
      <c r="B3" t="s">
        <v>98</v>
      </c>
    </row>
    <row r="4" spans="1:2" x14ac:dyDescent="0.35">
      <c r="A4" t="s">
        <v>4</v>
      </c>
      <c r="B4" t="s">
        <v>99</v>
      </c>
    </row>
    <row r="5" spans="1:2" x14ac:dyDescent="0.35">
      <c r="A5" t="s">
        <v>92</v>
      </c>
      <c r="B5" t="s">
        <v>93</v>
      </c>
    </row>
    <row r="6" spans="1:2" x14ac:dyDescent="0.35">
      <c r="A6" t="s">
        <v>0</v>
      </c>
      <c r="B6" t="s">
        <v>89</v>
      </c>
    </row>
    <row r="7" spans="1:2" x14ac:dyDescent="0.35">
      <c r="A7" t="s">
        <v>8</v>
      </c>
      <c r="B7" t="s">
        <v>105</v>
      </c>
    </row>
    <row r="8" spans="1:2" x14ac:dyDescent="0.35">
      <c r="A8" t="s">
        <v>1</v>
      </c>
      <c r="B8" t="s">
        <v>106</v>
      </c>
    </row>
    <row r="9" spans="1:2" x14ac:dyDescent="0.35">
      <c r="A9" t="s">
        <v>24</v>
      </c>
      <c r="B9" t="s">
        <v>107</v>
      </c>
    </row>
    <row r="10" spans="1:2" x14ac:dyDescent="0.35">
      <c r="A10" s="4" t="s">
        <v>25</v>
      </c>
      <c r="B10" t="s">
        <v>108</v>
      </c>
    </row>
    <row r="11" spans="1:2" x14ac:dyDescent="0.35">
      <c r="A11" t="s">
        <v>26</v>
      </c>
      <c r="B11" t="s">
        <v>109</v>
      </c>
    </row>
    <row r="12" spans="1:2" x14ac:dyDescent="0.35">
      <c r="A12" t="s">
        <v>2</v>
      </c>
      <c r="B12" t="s">
        <v>110</v>
      </c>
    </row>
    <row r="13" spans="1:2" x14ac:dyDescent="0.35">
      <c r="A13" t="s">
        <v>36</v>
      </c>
      <c r="B13" t="s">
        <v>111</v>
      </c>
    </row>
    <row r="14" spans="1:2" x14ac:dyDescent="0.35">
      <c r="A14" t="s">
        <v>100</v>
      </c>
      <c r="B14" t="s">
        <v>112</v>
      </c>
    </row>
    <row r="15" spans="1:2" x14ac:dyDescent="0.35">
      <c r="A15" t="s">
        <v>101</v>
      </c>
      <c r="B15" t="s">
        <v>113</v>
      </c>
    </row>
    <row r="16" spans="1:2" x14ac:dyDescent="0.35">
      <c r="A16" t="s">
        <v>104</v>
      </c>
      <c r="B16" t="s">
        <v>114</v>
      </c>
    </row>
    <row r="20" spans="1:2" x14ac:dyDescent="0.35">
      <c r="A20" s="2"/>
    </row>
    <row r="23" spans="1:2" x14ac:dyDescent="0.35">
      <c r="A23" s="2"/>
    </row>
    <row r="31" spans="1:2" x14ac:dyDescent="0.35">
      <c r="A31" s="2" t="s">
        <v>74</v>
      </c>
    </row>
    <row r="32" spans="1:2" x14ac:dyDescent="0.35">
      <c r="A32" s="3" t="s">
        <v>75</v>
      </c>
      <c r="B32" t="s">
        <v>76</v>
      </c>
    </row>
    <row r="33" spans="1:2" x14ac:dyDescent="0.35">
      <c r="A33" t="s">
        <v>77</v>
      </c>
      <c r="B33" t="s">
        <v>78</v>
      </c>
    </row>
    <row r="34" spans="1:2" x14ac:dyDescent="0.35">
      <c r="A34" t="s">
        <v>79</v>
      </c>
      <c r="B34" t="s">
        <v>80</v>
      </c>
    </row>
    <row r="35" spans="1:2" x14ac:dyDescent="0.35">
      <c r="A35" t="s">
        <v>81</v>
      </c>
      <c r="B35" t="s">
        <v>82</v>
      </c>
    </row>
    <row r="36" spans="1:2" x14ac:dyDescent="0.35">
      <c r="A36" t="s">
        <v>83</v>
      </c>
      <c r="B36" t="s">
        <v>84</v>
      </c>
    </row>
    <row r="37" spans="1:2" x14ac:dyDescent="0.35">
      <c r="A37" s="2" t="s">
        <v>85</v>
      </c>
    </row>
    <row r="38" spans="1:2" x14ac:dyDescent="0.35">
      <c r="A38" t="s">
        <v>86</v>
      </c>
      <c r="B38" t="s">
        <v>87</v>
      </c>
    </row>
    <row r="39" spans="1:2" x14ac:dyDescent="0.35">
      <c r="A39" t="s">
        <v>88</v>
      </c>
      <c r="B39" t="s">
        <v>89</v>
      </c>
    </row>
    <row r="40" spans="1:2" x14ac:dyDescent="0.35">
      <c r="A40" t="s">
        <v>90</v>
      </c>
      <c r="B40" t="s">
        <v>91</v>
      </c>
    </row>
    <row r="41" spans="1:2" x14ac:dyDescent="0.35">
      <c r="A41" t="s">
        <v>92</v>
      </c>
      <c r="B41" t="s">
        <v>93</v>
      </c>
    </row>
    <row r="43" spans="1:2" x14ac:dyDescent="0.35">
      <c r="A43" s="2" t="s">
        <v>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CTmaxHistology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2026-07-15T08:21:51Z</dcterms:modified>
</cp:coreProperties>
</file>